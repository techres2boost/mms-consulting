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ètres" sheetId="1" state="visible" r:id="rId1"/>
    <sheet xmlns:r="http://schemas.openxmlformats.org/officeDocument/2006/relationships" name="Devis" sheetId="2" state="visible" r:id="rId2"/>
    <sheet xmlns:r="http://schemas.openxmlformats.org/officeDocument/2006/relationships" name="Comparatif form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&quot; TND&quot;"/>
    <numFmt numFmtId="165" formatCode="0.0%"/>
    <numFmt numFmtId="166" formatCode="0.000"/>
    <numFmt numFmtId="167" formatCode="0.0&quot; j&quot;"/>
    <numFmt numFmtId="168" formatCode="#,##0&quot; €&quot;"/>
    <numFmt numFmtId="169" formatCode="0 %"/>
    <numFmt numFmtId="170" formatCode="0&quot; j&quot;"/>
    <numFmt numFmtId="171" formatCode="#,##0&quot; TND/mois&quot;"/>
  </numFmts>
  <fonts count="28">
    <font>
      <name val="Calibri"/>
      <family val="2"/>
      <color theme="1"/>
      <sz val="11"/>
      <scheme val="minor"/>
    </font>
    <font>
      <name val="Arial"/>
      <b val="1"/>
      <color rgb="0016233D"/>
      <sz val="15"/>
    </font>
    <font>
      <name val="Arial"/>
      <color rgb="005B7180"/>
      <sz val="11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i val="1"/>
      <color rgb="005B7180"/>
      <sz val="9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1"/>
    </font>
    <font>
      <name val="Arial"/>
      <b val="1"/>
      <color rgb="000000FF"/>
      <sz val="11"/>
    </font>
    <font>
      <name val="Arial"/>
      <i val="1"/>
      <color rgb="005B7180"/>
      <sz val="8.5"/>
    </font>
    <font>
      <name val="Arial"/>
      <b val="1"/>
      <color rgb="009A6B15"/>
      <sz val="10"/>
    </font>
    <font>
      <name val="Arial"/>
      <color rgb="005B7180"/>
      <sz val="9"/>
    </font>
    <font>
      <name val="Arial"/>
      <b val="1"/>
      <color rgb="00C0392B"/>
      <sz val="9"/>
    </font>
    <font>
      <name val="Arial"/>
      <b val="1"/>
      <color rgb="0016233D"/>
      <sz val="14"/>
    </font>
    <font>
      <name val="Arial"/>
      <color rgb="005B7180"/>
      <sz val="10"/>
    </font>
    <font>
      <name val="Arial"/>
      <b val="1"/>
      <color rgb="00008000"/>
      <sz val="11"/>
    </font>
    <font>
      <name val="Arial"/>
      <b val="1"/>
      <color rgb="00FFFFFF"/>
      <sz val="10"/>
    </font>
    <font>
      <name val="Arial"/>
      <b val="1"/>
      <color rgb="0016233D"/>
      <sz val="10"/>
    </font>
    <font>
      <name val="Arial"/>
      <color rgb="00000000"/>
      <sz val="9.5"/>
    </font>
    <font>
      <name val="Arial"/>
      <b val="1"/>
      <color rgb="00000000"/>
      <sz val="11"/>
    </font>
    <font>
      <name val="Arial"/>
      <b val="1"/>
      <color rgb="00000000"/>
      <sz val="10.5"/>
    </font>
    <font>
      <name val="Arial"/>
      <color rgb="00C0392B"/>
      <sz val="10"/>
    </font>
    <font>
      <name val="Arial"/>
      <b val="1"/>
      <color rgb="0016233D"/>
      <sz val="11"/>
    </font>
    <font>
      <name val="Arial"/>
      <b val="1"/>
      <color rgb="00000000"/>
      <sz val="9"/>
    </font>
    <font>
      <name val="Arial"/>
      <i val="1"/>
      <color rgb="00C0392B"/>
      <sz val="9"/>
    </font>
    <font>
      <name val="Arial"/>
      <b val="1"/>
      <color rgb="005B7180"/>
      <sz val="9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6233D"/>
      </patternFill>
    </fill>
    <fill>
      <patternFill patternType="solid">
        <fgColor rgb="00E1EDF3"/>
      </patternFill>
    </fill>
    <fill>
      <patternFill patternType="solid">
        <fgColor rgb="00F1F6F9"/>
      </patternFill>
    </fill>
  </fills>
  <borders count="2">
    <border>
      <left/>
      <right/>
      <top/>
      <bottom/>
      <diagonal/>
    </border>
    <border>
      <left style="thin">
        <color rgb="00B8C6D0"/>
      </left>
      <right style="thin">
        <color rgb="00B8C6D0"/>
      </right>
      <top style="thin">
        <color rgb="00B8C6D0"/>
      </top>
      <bottom style="thin">
        <color rgb="00B8C6D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0" fillId="3" borderId="0" pivotButton="0" quotePrefix="0" xfId="0"/>
    <xf numFmtId="0" fontId="7" fillId="0" borderId="1" pivotButton="0" quotePrefix="0" xfId="0"/>
    <xf numFmtId="164" fontId="10" fillId="2" borderId="1" applyAlignment="1" pivotButton="0" quotePrefix="0" xfId="0">
      <alignment horizontal="center"/>
    </xf>
    <xf numFmtId="0" fontId="11" fillId="0" borderId="0" applyAlignment="1" pivotButton="0" quotePrefix="0" xfId="0">
      <alignment vertical="top" wrapText="1"/>
    </xf>
    <xf numFmtId="165" fontId="10" fillId="2" borderId="1" applyAlignment="1" pivotButton="0" quotePrefix="0" xfId="0">
      <alignment horizontal="center"/>
    </xf>
    <xf numFmtId="166" fontId="10" fillId="2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0" borderId="0" applyAlignment="1" pivotButton="0" quotePrefix="0" xfId="0">
      <alignment horizontal="right"/>
    </xf>
    <xf numFmtId="164" fontId="17" fillId="0" borderId="0" pivotButton="0" quotePrefix="0" xfId="0"/>
    <xf numFmtId="0" fontId="18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/>
    </xf>
    <xf numFmtId="0" fontId="19" fillId="4" borderId="1" pivotButton="0" quotePrefix="0" xfId="0"/>
    <xf numFmtId="0" fontId="0" fillId="4" borderId="1" pivotButton="0" quotePrefix="0" xfId="0"/>
    <xf numFmtId="0" fontId="3" fillId="0" borderId="1" pivotButton="0" quotePrefix="0" xfId="0"/>
    <xf numFmtId="0" fontId="20" fillId="0" borderId="1" applyAlignment="1" pivotButton="0" quotePrefix="0" xfId="0">
      <alignment vertical="center" wrapText="1"/>
    </xf>
    <xf numFmtId="167" fontId="6" fillId="2" borderId="1" applyAlignment="1" pivotButton="0" quotePrefix="0" xfId="0">
      <alignment horizontal="center"/>
    </xf>
    <xf numFmtId="164" fontId="7" fillId="0" borderId="1" pivotButton="0" quotePrefix="0" xfId="0"/>
    <xf numFmtId="168" fontId="13" fillId="0" borderId="1" pivotButton="0" quotePrefix="0" xfId="0"/>
    <xf numFmtId="0" fontId="13" fillId="0" borderId="1" applyAlignment="1" pivotButton="0" quotePrefix="0" xfId="0">
      <alignment horizontal="center"/>
    </xf>
    <xf numFmtId="0" fontId="0" fillId="5" borderId="1" pivotButton="0" quotePrefix="0" xfId="0"/>
    <xf numFmtId="0" fontId="3" fillId="5" borderId="1" applyAlignment="1" pivotButton="0" quotePrefix="0" xfId="0">
      <alignment horizontal="right"/>
    </xf>
    <xf numFmtId="167" fontId="3" fillId="5" borderId="1" applyAlignment="1" pivotButton="0" quotePrefix="0" xfId="0">
      <alignment horizontal="center"/>
    </xf>
    <xf numFmtId="164" fontId="3" fillId="5" borderId="1" pivotButton="0" quotePrefix="0" xfId="0"/>
    <xf numFmtId="168" fontId="13" fillId="5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center"/>
    </xf>
    <xf numFmtId="164" fontId="21" fillId="0" borderId="1" pivotButton="0" quotePrefix="0" xfId="0"/>
    <xf numFmtId="0" fontId="22" fillId="5" borderId="1" applyAlignment="1" pivotButton="0" quotePrefix="0" xfId="0">
      <alignment horizontal="right"/>
    </xf>
    <xf numFmtId="164" fontId="21" fillId="5" borderId="1" pivotButton="0" quotePrefix="0" xfId="0"/>
    <xf numFmtId="164" fontId="23" fillId="0" borderId="1" pivotButton="0" quotePrefix="0" xfId="0"/>
    <xf numFmtId="0" fontId="24" fillId="0" borderId="0" pivotButton="0" quotePrefix="0" xfId="0"/>
    <xf numFmtId="169" fontId="6" fillId="2" borderId="1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169" fontId="25" fillId="0" borderId="0" applyAlignment="1" pivotButton="0" quotePrefix="0" xfId="0">
      <alignment horizontal="center"/>
    </xf>
    <xf numFmtId="164" fontId="25" fillId="0" borderId="0" pivotButton="0" quotePrefix="0" xfId="0"/>
    <xf numFmtId="0" fontId="18" fillId="3" borderId="1" applyAlignment="1" pivotButton="0" quotePrefix="0" xfId="0">
      <alignment horizontal="left"/>
    </xf>
    <xf numFmtId="0" fontId="18" fillId="3" borderId="1" applyAlignment="1" pivotButton="0" quotePrefix="0" xfId="0">
      <alignment horizontal="center"/>
    </xf>
    <xf numFmtId="0" fontId="26" fillId="0" borderId="0" pivotButton="0" quotePrefix="0" xfId="0"/>
    <xf numFmtId="170" fontId="6" fillId="2" borderId="1" applyAlignment="1" pivotButton="0" quotePrefix="0" xfId="0">
      <alignment horizontal="center"/>
    </xf>
    <xf numFmtId="171" fontId="3" fillId="0" borderId="1" pivotButton="0" quotePrefix="0" xfId="0"/>
    <xf numFmtId="0" fontId="19" fillId="0" borderId="0" pivotButton="0" quotePrefix="0" xfId="0"/>
    <xf numFmtId="0" fontId="2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Chiffrage</author>
  </authors>
  <commentList>
    <comment ref="C12" authorId="0" shapeId="0">
      <text>
        <t>Modifiez ce TJM : tous les montants du devis se recalculent.
Repères marché 2026 : freelance dev Tunisie 180-500 TND/j ;
expert sur contrat européen jusqu'à 750 ; équivalent France 629 EUR/j.</t>
      </text>
    </comment>
  </commentList>
</comments>
</file>

<file path=xl/comments/comment2.xml><?xml version="1.0" encoding="utf-8"?>
<comments xmlns="http://schemas.openxmlformats.org/spreadsheetml/2006/main">
  <authors>
    <author>Chiffrage</author>
  </authors>
  <commentList>
    <comment ref="E35" authorId="0" shapeId="0">
      <text>
        <t>La retenue à la source n'est pas une perte : c'est un acompte d'impôt imputable
sur votre déclaration annuelle. Exigez le certificat de retenue auprès du client.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6" customWidth="1" min="3" max="3"/>
    <col width="52" customWidth="1" min="4" max="4"/>
  </cols>
  <sheetData>
    <row r="2">
      <c r="B2" s="1" t="inlineStr">
        <is>
          <t>DEVIS — MISSION DE CONSEIL TECHNIQUE</t>
        </is>
      </c>
    </row>
    <row r="3">
      <c r="B3" s="2" t="inlineStr">
        <is>
          <t>Intégration Call Com × Orange Tunisie</t>
        </is>
      </c>
    </row>
    <row r="5">
      <c r="B5" s="3" t="inlineStr">
        <is>
          <t>LÉGENDE</t>
        </is>
      </c>
    </row>
    <row r="6">
      <c r="B6" s="4" t="inlineStr">
        <is>
          <t>Cellules JAUNES</t>
        </is>
      </c>
      <c r="C6" s="5" t="inlineStr">
        <is>
          <t>à modifier</t>
        </is>
      </c>
      <c r="D6" s="6" t="inlineStr">
        <is>
          <t>Ce sont les seules cellules à éditer. Tout le reste est calculé.</t>
        </is>
      </c>
    </row>
    <row r="7">
      <c r="B7" s="7" t="inlineStr">
        <is>
          <t>Texte bleu</t>
        </is>
      </c>
      <c r="D7" s="6" t="inlineStr">
        <is>
          <t>Saisie / hypothèse</t>
        </is>
      </c>
    </row>
    <row r="8">
      <c r="B8" s="8" t="inlineStr">
        <is>
          <t>Texte noir</t>
        </is>
      </c>
      <c r="D8" s="6" t="inlineStr">
        <is>
          <t>Formule — ne pas écraser</t>
        </is>
      </c>
    </row>
    <row r="9">
      <c r="B9" s="9" t="inlineStr">
        <is>
          <t>Texte vert</t>
        </is>
      </c>
      <c r="D9" s="6" t="inlineStr">
        <is>
          <t>Lien vers une autre feuille</t>
        </is>
      </c>
    </row>
    <row r="11">
      <c r="B11" s="10" t="inlineStr">
        <is>
          <t>PARAMÈTRES DE LA MISSION</t>
        </is>
      </c>
      <c r="C11" s="11" t="n"/>
      <c r="D11" s="11" t="n"/>
    </row>
    <row r="12" ht="30" customHeight="1">
      <c r="B12" s="12" t="inlineStr">
        <is>
          <t>TJM retenu (TND / jour)</t>
        </is>
      </c>
      <c r="C12" s="13" t="n">
        <v>700</v>
      </c>
      <c r="D12" s="14" t="inlineStr">
        <is>
          <t>Tarif Senior recommandé. Grille : 450 confirmé / 700 senior / 900 expert télécom — justification dans docs/25-chiffrage-mission.md</t>
        </is>
      </c>
    </row>
    <row r="13" ht="30" customHeight="1">
      <c r="B13" s="12" t="inlineStr">
        <is>
          <t>Taux de TVA</t>
        </is>
      </c>
      <c r="C13" s="15" t="n">
        <v>0.19</v>
      </c>
      <c r="D13" s="14" t="inlineStr">
        <is>
          <t>Taux normal en Tunisie 2026. Professions libérales passées de 13 % à 19 %. À confirmer avec un expert-comptable.</t>
        </is>
      </c>
    </row>
    <row r="14" ht="30" customHeight="1">
      <c r="B14" s="12" t="inlineStr">
        <is>
          <t>Retenue à la source</t>
        </is>
      </c>
      <c r="C14" s="15" t="n">
        <v>0.1</v>
      </c>
      <c r="D14" s="14" t="inlineStr">
        <is>
          <t>10 % en régime réel, 15 % en régime forfaitaire, calculée sur le HT. À confirmer avec un expert-comptable.</t>
        </is>
      </c>
    </row>
    <row r="15" ht="30" customHeight="1">
      <c r="B15" s="12" t="inlineStr">
        <is>
          <t>Taux de change EUR/TND</t>
        </is>
      </c>
      <c r="C15" s="16" t="n">
        <v>3.373</v>
      </c>
      <c r="D15" s="14" t="inlineStr">
        <is>
          <t>Banque Centrale de Tunisie, 15/09/2026. Pour information seulement.</t>
        </is>
      </c>
    </row>
    <row r="18">
      <c r="B18" s="17" t="inlineStr">
        <is>
          <t>RAPPEL — ce que ce devis ne couvre pas</t>
        </is>
      </c>
    </row>
    <row r="19">
      <c r="B19" s="18" t="inlineStr">
        <is>
          <t>— Développement de la plateforme Call Com (mission séparée)</t>
        </is>
      </c>
    </row>
    <row r="20">
      <c r="B20" s="18" t="inlineStr">
        <is>
          <t>— Réalisation du POC technique (le dossier le spécifie, il ne l'exécute pas)</t>
        </is>
      </c>
    </row>
    <row r="21">
      <c r="B21" s="18" t="inlineStr">
        <is>
          <t>— Conseil juridique et réglementaire (le lot L15 prépare la matière seulement)</t>
        </is>
      </c>
    </row>
    <row r="22">
      <c r="B22" s="18" t="inlineStr">
        <is>
          <t>— Négociation commerciale avec Orange (partage de revenus, contrat, exclusivité)</t>
        </is>
      </c>
    </row>
    <row r="23">
      <c r="B23" s="18" t="inlineStr">
        <is>
          <t>— Prospection des annonceurs</t>
        </is>
      </c>
    </row>
    <row r="24">
      <c r="B24" s="18" t="inlineStr">
        <is>
          <t>— Frais de déplacement hors Grand Tunis (refacturés au réel)</t>
        </is>
      </c>
    </row>
    <row r="25">
      <c r="B25" s="19" t="inlineStr">
        <is>
          <t>— AUCUNE obligation de résultat sur la décision d'Orange — mission de moyens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4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62" customWidth="1" min="3" max="3"/>
    <col width="9" customWidth="1" min="4" max="4"/>
    <col width="14" customWidth="1" min="5" max="5"/>
    <col width="13" customWidth="1" min="6" max="6"/>
    <col width="11" customWidth="1" min="7" max="7"/>
  </cols>
  <sheetData>
    <row r="2">
      <c r="B2" s="20" t="inlineStr">
        <is>
          <t>DEVIS DÉTAILLÉ PAR LIVRABLE</t>
        </is>
      </c>
    </row>
    <row r="3">
      <c r="B3" s="21" t="inlineStr">
        <is>
          <t>Montants en dinars tunisiens, hors taxes</t>
        </is>
      </c>
      <c r="E3" s="22" t="inlineStr">
        <is>
          <t>TJM appliqué :</t>
        </is>
      </c>
      <c r="F3" s="23">
        <f>Paramètres!C12</f>
        <v/>
      </c>
    </row>
    <row r="5" ht="20" customHeight="1">
      <c r="A5" s="24" t="inlineStr"/>
      <c r="B5" s="24" t="inlineStr">
        <is>
          <t>Lot</t>
        </is>
      </c>
      <c r="C5" s="24" t="inlineStr">
        <is>
          <t>Livrable</t>
        </is>
      </c>
      <c r="D5" s="25" t="inlineStr">
        <is>
          <t>Jours</t>
        </is>
      </c>
      <c r="E5" s="25" t="inlineStr">
        <is>
          <t>Montant HT</t>
        </is>
      </c>
      <c r="F5" s="25" t="inlineStr">
        <is>
          <t>Équiv. EUR</t>
        </is>
      </c>
      <c r="G5" s="25" t="inlineStr">
        <is>
          <t>Phase</t>
        </is>
      </c>
    </row>
    <row r="6" ht="18" customHeight="1">
      <c r="B6" s="26" t="inlineStr">
        <is>
          <t>PHASE 1 — DOSSIER TECHNIQUE (forfait)</t>
        </is>
      </c>
      <c r="C6" s="27" t="n"/>
      <c r="D6" s="27" t="n"/>
      <c r="E6" s="27" t="n"/>
      <c r="F6" s="27" t="n"/>
      <c r="G6" s="27" t="n"/>
    </row>
    <row r="7" ht="16" customHeight="1">
      <c r="B7" s="28" t="inlineStr">
        <is>
          <t>L0</t>
        </is>
      </c>
      <c r="C7" s="29" t="inlineStr">
        <is>
          <t>Cadrage et lancement de mission</t>
        </is>
      </c>
      <c r="D7" s="30" t="n">
        <v>1</v>
      </c>
      <c r="E7" s="31">
        <f>D7*$F$3</f>
        <v/>
      </c>
      <c r="F7" s="32">
        <f>E7/Paramètres!$C$15</f>
        <v/>
      </c>
      <c r="G7" s="33" t="inlineStr">
        <is>
          <t>Ph.1</t>
        </is>
      </c>
    </row>
    <row r="8" ht="26" customHeight="1">
      <c r="B8" s="28" t="inlineStr">
        <is>
          <t>L1</t>
        </is>
      </c>
      <c r="C8" s="29" t="inlineStr">
        <is>
          <t>Étude de faisabilité télécom — parcours d'appel CS et IMS, composants réseau, déclenchement CAMEL / iFC, budget de latence, variante origine, interconnexion</t>
        </is>
      </c>
      <c r="D8" s="30" t="n">
        <v>5</v>
      </c>
      <c r="E8" s="31">
        <f>D8*$F$3</f>
        <v/>
      </c>
      <c r="F8" s="32">
        <f>E8/Paramètres!$C$15</f>
        <v/>
      </c>
      <c r="G8" s="33" t="inlineStr">
        <is>
          <t>Ph.1</t>
        </is>
      </c>
    </row>
    <row r="9" ht="26" customHeight="1">
      <c r="B9" s="28" t="inlineStr">
        <is>
          <t>L2</t>
        </is>
      </c>
      <c r="C9" s="29" t="inlineStr">
        <is>
          <t>Architecture cible — architecture logicielle Call Com, modules, abstraction opérateur, schémas</t>
        </is>
      </c>
      <c r="D9" s="30" t="n">
        <v>4</v>
      </c>
      <c r="E9" s="31">
        <f>D9*$F$3</f>
        <v/>
      </c>
      <c r="F9" s="32">
        <f>E9/Paramètres!$C$15</f>
        <v/>
      </c>
      <c r="G9" s="33" t="inlineStr">
        <is>
          <t>Ph.1</t>
        </is>
      </c>
    </row>
    <row r="10" ht="26" customHeight="1">
      <c r="B10" s="28" t="inlineStr">
        <is>
          <t>L3</t>
        </is>
      </c>
      <c r="C10" s="29" t="inlineStr">
        <is>
          <t>Scénarios d'intégration Orange — 3 architectures comparées, trajectoire recommandée</t>
        </is>
      </c>
      <c r="D10" s="30" t="n">
        <v>3</v>
      </c>
      <c r="E10" s="31">
        <f>D10*$F$3</f>
        <v/>
      </c>
      <c r="F10" s="32">
        <f>E10/Paramètres!$C$15</f>
        <v/>
      </c>
      <c r="G10" s="33" t="inlineStr">
        <is>
          <t>Ph.1</t>
        </is>
      </c>
    </row>
    <row r="11" ht="26" customHeight="1">
      <c r="B11" s="28" t="inlineStr">
        <is>
          <t>L4</t>
        </is>
      </c>
      <c r="C11" s="29" t="inlineStr">
        <is>
          <t>Flux techniques et contrats d'API — séquences, idempotence, délais de garde, replis, format des remontées</t>
        </is>
      </c>
      <c r="D11" s="30" t="n">
        <v>4</v>
      </c>
      <c r="E11" s="31">
        <f>D11*$F$3</f>
        <v/>
      </c>
      <c r="F11" s="32">
        <f>E11/Paramètres!$C$15</f>
        <v/>
      </c>
      <c r="G11" s="33" t="inlineStr">
        <is>
          <t>Ph.1</t>
        </is>
      </c>
    </row>
    <row r="12" ht="26" customHeight="1">
      <c r="B12" s="28" t="inlineStr">
        <is>
          <t>L5</t>
        </is>
      </c>
      <c r="C12" s="29" t="inlineStr">
        <is>
          <t>Sécurité, données personnelles, contraintes — pseudonymat, mTLS, rétention, matrice de conformité</t>
        </is>
      </c>
      <c r="D12" s="30" t="n">
        <v>3</v>
      </c>
      <c r="E12" s="31">
        <f>D12*$F$3</f>
        <v/>
      </c>
      <c r="F12" s="32">
        <f>E12/Paramètres!$C$15</f>
        <v/>
      </c>
      <c r="G12" s="33" t="inlineStr">
        <is>
          <t>Ph.1</t>
        </is>
      </c>
    </row>
    <row r="13" ht="26" customHeight="1">
      <c r="B13" s="28" t="inlineStr">
        <is>
          <t>L6</t>
        </is>
      </c>
      <c r="C13" s="29" t="inlineStr">
        <is>
          <t>Proposition de POC — périmètre, matériel, lignes de test, critères chiffrés, métriques, risques</t>
        </is>
      </c>
      <c r="D13" s="30" t="n">
        <v>3</v>
      </c>
      <c r="E13" s="31">
        <f>D13*$F$3</f>
        <v/>
      </c>
      <c r="F13" s="32">
        <f>E13/Paramètres!$C$15</f>
        <v/>
      </c>
      <c r="G13" s="33" t="inlineStr">
        <is>
          <t>Ph.1</t>
        </is>
      </c>
    </row>
    <row r="14" ht="26" customHeight="1">
      <c r="B14" s="28" t="inlineStr">
        <is>
          <t>L7</t>
        </is>
      </c>
      <c r="C14" s="29" t="inlineStr">
        <is>
          <t>Questions techniques à adresser à Orange — 7 catégories + checklist de 22 questions</t>
        </is>
      </c>
      <c r="D14" s="30" t="n">
        <v>1.5</v>
      </c>
      <c r="E14" s="31">
        <f>D14*$F$3</f>
        <v/>
      </c>
      <c r="F14" s="32">
        <f>E14/Paramètres!$C$15</f>
        <v/>
      </c>
      <c r="G14" s="33" t="inlineStr">
        <is>
          <t>Ph.1</t>
        </is>
      </c>
    </row>
    <row r="15" ht="26" customHeight="1">
      <c r="B15" s="28" t="inlineStr">
        <is>
          <t>L8</t>
        </is>
      </c>
      <c r="C15" s="29" t="inlineStr">
        <is>
          <t>Présentations PowerPoint — pitch 5 minutes + deck technique, avec notes de présentateur</t>
        </is>
      </c>
      <c r="D15" s="30" t="n">
        <v>3</v>
      </c>
      <c r="E15" s="31">
        <f>D15*$F$3</f>
        <v/>
      </c>
      <c r="F15" s="32">
        <f>E15/Paramètres!$C$15</f>
        <v/>
      </c>
      <c r="G15" s="33" t="inlineStr">
        <is>
          <t>Ph.1</t>
        </is>
      </c>
    </row>
    <row r="16" ht="18" customHeight="1">
      <c r="B16" s="26" t="inlineStr">
        <is>
          <t>PHASE 2 — ACCOMPAGNEMENT ORANGE (à la journée)</t>
        </is>
      </c>
      <c r="C16" s="27" t="n"/>
      <c r="D16" s="27" t="n"/>
      <c r="E16" s="27" t="n"/>
      <c r="F16" s="27" t="n"/>
      <c r="G16" s="27" t="n"/>
    </row>
    <row r="17" ht="26" customHeight="1">
      <c r="B17" s="28" t="inlineStr">
        <is>
          <t>L9</t>
        </is>
      </c>
      <c r="C17" s="29" t="inlineStr">
        <is>
          <t>Présentation technique chez Orange — préparation, répétition, animation (par session)</t>
        </is>
      </c>
      <c r="D17" s="30" t="n">
        <v>2</v>
      </c>
      <c r="E17" s="31">
        <f>D17*$F$3</f>
        <v/>
      </c>
      <c r="F17" s="32">
        <f>E17/Paramètres!$C$15</f>
        <v/>
      </c>
      <c r="G17" s="33" t="inlineStr">
        <is>
          <t>Ph.2</t>
        </is>
      </c>
    </row>
    <row r="18" ht="26" customHeight="1">
      <c r="B18" s="28" t="inlineStr">
        <is>
          <t>L10</t>
        </is>
      </c>
      <c r="C18" s="29" t="inlineStr">
        <is>
          <t>Compte rendu de réunion — réponses, décisions, actions, mise à jour du dossier (par réunion)</t>
        </is>
      </c>
      <c r="D18" s="30" t="n">
        <v>1</v>
      </c>
      <c r="E18" s="31">
        <f>D18*$F$3</f>
        <v/>
      </c>
      <c r="F18" s="32">
        <f>E18/Paramètres!$C$15</f>
        <v/>
      </c>
      <c r="G18" s="33" t="inlineStr">
        <is>
          <t>Ph.2</t>
        </is>
      </c>
    </row>
    <row r="19" ht="18" customHeight="1">
      <c r="B19" s="26" t="inlineStr">
        <is>
          <t>OPTIONS RECOMMANDÉES</t>
        </is>
      </c>
      <c r="C19" s="27" t="n"/>
      <c r="D19" s="27" t="n"/>
      <c r="E19" s="27" t="n"/>
      <c r="F19" s="27" t="n"/>
      <c r="G19" s="27" t="n"/>
    </row>
    <row r="20" ht="26" customHeight="1">
      <c r="B20" s="28" t="inlineStr">
        <is>
          <t>L11</t>
        </is>
      </c>
      <c r="C20" s="29" t="inlineStr">
        <is>
          <t>Note de clôture de la piste applicative — tests sur 6 téléphones, captures, 2 pages</t>
        </is>
      </c>
      <c r="D20" s="30" t="n">
        <v>2</v>
      </c>
      <c r="E20" s="31">
        <f>D20*$F$3</f>
        <v/>
      </c>
      <c r="F20" s="32">
        <f>E20/Paramètres!$C$15</f>
        <v/>
      </c>
      <c r="G20" s="33" t="inlineStr">
        <is>
          <t>Option</t>
        </is>
      </c>
    </row>
    <row r="21" ht="16" customHeight="1">
      <c r="B21" s="28" t="inlineStr">
        <is>
          <t>L12</t>
        </is>
      </c>
      <c r="C21" s="29" t="inlineStr">
        <is>
          <t>Dimensionnement des barèmes et plafonds — économie unitaire, CPM plancher</t>
        </is>
      </c>
      <c r="D21" s="30" t="n">
        <v>3</v>
      </c>
      <c r="E21" s="31">
        <f>D21*$F$3</f>
        <v/>
      </c>
      <c r="F21" s="32">
        <f>E21/Paramètres!$C$15</f>
        <v/>
      </c>
      <c r="G21" s="33" t="inlineStr">
        <is>
          <t>Option</t>
        </is>
      </c>
    </row>
    <row r="22" ht="16" customHeight="1">
      <c r="B22" s="28" t="inlineStr">
        <is>
          <t>L13</t>
        </is>
      </c>
      <c r="C22" s="29" t="inlineStr">
        <is>
          <t>Schéma de base de données + migrations exécutables + tests</t>
        </is>
      </c>
      <c r="D22" s="30" t="n">
        <v>4</v>
      </c>
      <c r="E22" s="31">
        <f>D22*$F$3</f>
        <v/>
      </c>
      <c r="F22" s="32">
        <f>E22/Paramètres!$C$15</f>
        <v/>
      </c>
      <c r="G22" s="33" t="inlineStr">
        <is>
          <t>Option</t>
        </is>
      </c>
    </row>
    <row r="23" ht="16" customHeight="1">
      <c r="B23" s="28" t="inlineStr">
        <is>
          <t>L14</t>
        </is>
      </c>
      <c r="C23" s="29" t="inlineStr">
        <is>
          <t>Registre des risques et plan de mitigation</t>
        </is>
      </c>
      <c r="D23" s="30" t="n">
        <v>1</v>
      </c>
      <c r="E23" s="31">
        <f>D23*$F$3</f>
        <v/>
      </c>
      <c r="F23" s="32">
        <f>E23/Paramètres!$C$15</f>
        <v/>
      </c>
      <c r="G23" s="33" t="inlineStr">
        <is>
          <t>Option</t>
        </is>
      </c>
    </row>
    <row r="24" ht="16" customHeight="1">
      <c r="B24" s="28" t="inlineStr">
        <is>
          <t>L15</t>
        </is>
      </c>
      <c r="C24" s="29" t="inlineStr">
        <is>
          <t>Dossier de conformité — matière pour le conseil juridique (INPDP, INT)</t>
        </is>
      </c>
      <c r="D24" s="30" t="n">
        <v>2</v>
      </c>
      <c r="E24" s="31">
        <f>D24*$F$3</f>
        <v/>
      </c>
      <c r="F24" s="32">
        <f>E24/Paramètres!$C$15</f>
        <v/>
      </c>
      <c r="G24" s="33" t="inlineStr">
        <is>
          <t>Option</t>
        </is>
      </c>
    </row>
    <row r="26">
      <c r="B26" s="34" t="inlineStr"/>
      <c r="C26" s="35" t="inlineStr">
        <is>
          <t>Sous-total Phase 1 — dossier technique</t>
        </is>
      </c>
      <c r="D26" s="36">
        <f>SUM(D7,D8,D9,D10,D11,D12,D13,D14,D15)</f>
        <v/>
      </c>
      <c r="E26" s="37">
        <f>SUM(E7,E8,E9,E10,E11,E12,E13,E14,E15)</f>
        <v/>
      </c>
      <c r="F26" s="38">
        <f>E26/Paramètres!$C$15</f>
        <v/>
      </c>
      <c r="G26" s="34" t="n"/>
    </row>
    <row r="27">
      <c r="B27" s="34" t="inlineStr"/>
      <c r="C27" s="35" t="inlineStr">
        <is>
          <t>Sous-total Phase 2 — par réunion Orange</t>
        </is>
      </c>
      <c r="D27" s="36">
        <f>SUM(D17,D18)</f>
        <v/>
      </c>
      <c r="E27" s="37">
        <f>SUM(E17,E18)</f>
        <v/>
      </c>
      <c r="F27" s="38">
        <f>E27/Paramètres!$C$15</f>
        <v/>
      </c>
      <c r="G27" s="34" t="n"/>
    </row>
    <row r="28">
      <c r="B28" s="34" t="inlineStr"/>
      <c r="C28" s="35" t="inlineStr">
        <is>
          <t>Sous-total options</t>
        </is>
      </c>
      <c r="D28" s="36">
        <f>SUM(D20,D21,D22,D23,D24)</f>
        <v/>
      </c>
      <c r="E28" s="37">
        <f>SUM(E20,E21,E22,E23,E24)</f>
        <v/>
      </c>
      <c r="F28" s="38">
        <f>E28/Paramètres!$C$15</f>
        <v/>
      </c>
      <c r="G28" s="34" t="n"/>
    </row>
    <row r="30" ht="20" customHeight="1">
      <c r="B30" s="39" t="n"/>
      <c r="C30" s="40" t="n"/>
      <c r="D30" s="39" t="n"/>
      <c r="E30" s="39" t="n"/>
      <c r="F30" s="39" t="n"/>
      <c r="G30" s="39" t="n"/>
    </row>
    <row r="31">
      <c r="B31" s="41" t="n"/>
      <c r="C31" s="42" t="inlineStr">
        <is>
          <t>Total jours</t>
        </is>
      </c>
      <c r="D31" s="43">
        <f>D26+D27</f>
        <v/>
      </c>
      <c r="E31" s="44">
        <f>E26+E27</f>
        <v/>
      </c>
      <c r="F31" s="32">
        <f>E31/Paramètres!$C$15</f>
        <v/>
      </c>
      <c r="G31" s="41" t="n"/>
    </row>
    <row r="32">
      <c r="B32" s="41" t="n"/>
      <c r="C32" s="42" t="inlineStr">
        <is>
          <t>Montant hors taxes</t>
        </is>
      </c>
      <c r="D32" s="41" t="n"/>
      <c r="E32" s="31">
        <f>E31</f>
        <v/>
      </c>
      <c r="F32" s="32">
        <f>E32/Paramètres!$C$15</f>
        <v/>
      </c>
      <c r="G32" s="41" t="n"/>
    </row>
    <row r="33">
      <c r="B33" s="34" t="n"/>
      <c r="C33" s="45" t="inlineStr">
        <is>
          <t>TVA</t>
        </is>
      </c>
      <c r="D33" s="34" t="n"/>
      <c r="E33" s="46">
        <f>E31*Paramètres!$C$13</f>
        <v/>
      </c>
      <c r="F33" s="38">
        <f>E33/Paramètres!$C$15</f>
        <v/>
      </c>
      <c r="G33" s="34" t="n"/>
    </row>
    <row r="34">
      <c r="B34" s="34" t="n"/>
      <c r="C34" s="45" t="inlineStr">
        <is>
          <t>TOTAL TTC FACTURÉ</t>
        </is>
      </c>
      <c r="D34" s="34" t="n"/>
      <c r="E34" s="46">
        <f>E31+E33</f>
        <v/>
      </c>
      <c r="F34" s="38">
        <f>E34/Paramètres!$C$15</f>
        <v/>
      </c>
      <c r="G34" s="34" t="n"/>
    </row>
    <row r="35">
      <c r="B35" s="41" t="n"/>
      <c r="C35" s="42" t="inlineStr">
        <is>
          <t>Retenue à la source (acompte d'impôt, sur le HT)</t>
        </is>
      </c>
      <c r="D35" s="41" t="n"/>
      <c r="E35" s="47">
        <f>-E31*Paramètres!$C$14</f>
        <v/>
      </c>
      <c r="F35" s="32">
        <f>E35/Paramètres!$C$15</f>
        <v/>
      </c>
      <c r="G35" s="41" t="n"/>
    </row>
    <row r="36">
      <c r="B36" s="34" t="n"/>
      <c r="C36" s="45" t="inlineStr">
        <is>
          <t>ENCAISSÉ À LA FACTURATION</t>
        </is>
      </c>
      <c r="D36" s="34" t="n"/>
      <c r="E36" s="46">
        <f>E34+E35</f>
        <v/>
      </c>
      <c r="F36" s="38">
        <f>E36/Paramètres!$C$15</f>
        <v/>
      </c>
      <c r="G36" s="34" t="n"/>
    </row>
    <row r="38">
      <c r="B38" s="48" t="inlineStr">
        <is>
          <t>ÉCHÉANCIER DE PAIEMENT</t>
        </is>
      </c>
    </row>
    <row r="39">
      <c r="B39" s="41" t="n"/>
      <c r="C39" s="12" t="inlineStr">
        <is>
          <t>À la commande</t>
        </is>
      </c>
      <c r="D39" s="49" t="n">
        <v>0.4</v>
      </c>
      <c r="E39" s="31">
        <f>D39*$E$32</f>
        <v/>
      </c>
      <c r="F39" s="41" t="n"/>
      <c r="G39" s="41" t="n"/>
    </row>
    <row r="40">
      <c r="B40" s="41" t="n"/>
      <c r="C40" s="12" t="inlineStr">
        <is>
          <t>À la remise du dossier technique</t>
        </is>
      </c>
      <c r="D40" s="49" t="n">
        <v>0.4</v>
      </c>
      <c r="E40" s="31">
        <f>D40*$E$32</f>
        <v/>
      </c>
      <c r="F40" s="41" t="n"/>
      <c r="G40" s="41" t="n"/>
    </row>
    <row r="41">
      <c r="B41" s="41" t="n"/>
      <c r="C41" s="12" t="inlineStr">
        <is>
          <t>Après la première réunion Orange et son compte rendu</t>
        </is>
      </c>
      <c r="D41" s="49" t="n">
        <v>0.2</v>
      </c>
      <c r="E41" s="31">
        <f>D41*$E$32</f>
        <v/>
      </c>
      <c r="F41" s="41" t="n"/>
      <c r="G41" s="41" t="n"/>
    </row>
    <row r="42">
      <c r="C42" s="50" t="inlineStr">
        <is>
          <t>Contrôle — doit faire 100 %</t>
        </is>
      </c>
      <c r="D42" s="51">
        <f>SUM(D39:D41)</f>
        <v/>
      </c>
      <c r="E42" s="52">
        <f>SUM(E39:E41)</f>
        <v/>
      </c>
    </row>
    <row r="45">
      <c r="B45" s="6" t="inlineStr">
        <is>
          <t>Validité de l'offre : 30 jours · Mission de moyens : aucune obligation de résultat sur la décision d'Orange Tunisie.</t>
        </is>
      </c>
    </row>
  </sheetData>
  <mergeCells count="4">
    <mergeCell ref="B16:G16"/>
    <mergeCell ref="B30:G30"/>
    <mergeCell ref="B19:G19"/>
    <mergeCell ref="B6:G6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0" customWidth="1" min="3" max="3"/>
    <col width="15" customWidth="1" min="4" max="4"/>
    <col width="15" customWidth="1" min="5" max="5"/>
    <col width="15" customWidth="1" min="6" max="6"/>
  </cols>
  <sheetData>
    <row r="2">
      <c r="B2" s="20" t="inlineStr">
        <is>
          <t>COMPARATIF DES FORMULES ET DES TARIFS</t>
        </is>
      </c>
    </row>
    <row r="3">
      <c r="B3" s="6" t="inlineStr">
        <is>
          <t>Le tarif de la colonne surlignée est celui appliqué dans l'onglet Devis</t>
        </is>
      </c>
    </row>
    <row r="5">
      <c r="A5" s="53" t="inlineStr"/>
      <c r="B5" s="53" t="inlineStr">
        <is>
          <t>Formule</t>
        </is>
      </c>
      <c r="C5" s="54" t="inlineStr">
        <is>
          <t>Jours</t>
        </is>
      </c>
      <c r="D5" s="54" t="inlineStr">
        <is>
          <t>450 TND/j</t>
        </is>
      </c>
      <c r="E5" s="54" t="inlineStr">
        <is>
          <t>700 TND/j</t>
        </is>
      </c>
      <c r="F5" s="54" t="inlineStr">
        <is>
          <t>900 TND/j</t>
        </is>
      </c>
    </row>
    <row r="6">
      <c r="B6" s="12" t="inlineStr">
        <is>
          <t>A — Socle « aller chez Orange »</t>
        </is>
      </c>
      <c r="C6" s="30" t="n">
        <v>16.5</v>
      </c>
      <c r="D6" s="31">
        <f>$C6*450</f>
        <v/>
      </c>
      <c r="E6" s="37">
        <f>$C6*700</f>
        <v/>
      </c>
      <c r="F6" s="31">
        <f>$C6*900</f>
        <v/>
      </c>
    </row>
    <row r="7">
      <c r="B7" s="12" t="inlineStr">
        <is>
          <t>B — Dossier technique complet (L0-L8)</t>
        </is>
      </c>
      <c r="C7" s="30" t="n">
        <v>27.5</v>
      </c>
      <c r="D7" s="31">
        <f>$C7*450</f>
        <v/>
      </c>
      <c r="E7" s="37">
        <f>$C7*700</f>
        <v/>
      </c>
      <c r="F7" s="31">
        <f>$C7*900</f>
        <v/>
      </c>
    </row>
    <row r="8">
      <c r="B8" s="28" t="inlineStr">
        <is>
          <t>C — Dossier + 1 réunion Orange (retenue)</t>
        </is>
      </c>
      <c r="C8" s="30" t="n">
        <v>30.5</v>
      </c>
      <c r="D8" s="31">
        <f>$C8*450</f>
        <v/>
      </c>
      <c r="E8" s="37">
        <f>$C8*700</f>
        <v/>
      </c>
      <c r="F8" s="31">
        <f>$C8*900</f>
        <v/>
      </c>
    </row>
    <row r="9">
      <c r="B9" s="12" t="inlineStr">
        <is>
          <t>D — Mission complète (L0-L15)</t>
        </is>
      </c>
      <c r="C9" s="30" t="n">
        <v>42.5</v>
      </c>
      <c r="D9" s="31">
        <f>$C9*450</f>
        <v/>
      </c>
      <c r="E9" s="37">
        <f>$C9*700</f>
        <v/>
      </c>
      <c r="F9" s="31">
        <f>$C9*900</f>
        <v/>
      </c>
    </row>
    <row r="11">
      <c r="B11" s="48" t="inlineStr">
        <is>
          <t>ABONNEMENT D'ACCOMPAGNEMENT (phase Orange)</t>
        </is>
      </c>
    </row>
    <row r="12">
      <c r="B12" s="55" t="inlineStr">
        <is>
          <t>La durée de cette phase dépend d'Orange, pas de vous : ne jamais la forfaitiser.</t>
        </is>
      </c>
    </row>
    <row r="13">
      <c r="B13" s="12" t="inlineStr">
        <is>
          <t>2 jours par mois</t>
        </is>
      </c>
      <c r="C13" s="56" t="n">
        <v>2</v>
      </c>
      <c r="D13" s="41" t="n"/>
      <c r="E13" s="57">
        <f>C13*Paramètres!$C$12</f>
        <v/>
      </c>
      <c r="F13" s="41" t="n"/>
    </row>
    <row r="14">
      <c r="B14" s="12" t="inlineStr">
        <is>
          <t>3 jours par mois</t>
        </is>
      </c>
      <c r="C14" s="56" t="n">
        <v>3</v>
      </c>
      <c r="D14" s="41" t="n"/>
      <c r="E14" s="57">
        <f>C14*Paramètres!$C$12</f>
        <v/>
      </c>
      <c r="F14" s="41" t="n"/>
    </row>
    <row r="15">
      <c r="B15" s="12" t="inlineStr">
        <is>
          <t>4 jours par mois</t>
        </is>
      </c>
      <c r="C15" s="56" t="n">
        <v>4</v>
      </c>
      <c r="D15" s="41" t="n"/>
      <c r="E15" s="57">
        <f>C15*Paramètres!$C$12</f>
        <v/>
      </c>
      <c r="F15" s="41" t="n"/>
    </row>
    <row r="18">
      <c r="B18" s="58" t="inlineStr">
        <is>
          <t>REPÈRES DE MARCHÉ 2026 (sources dans docs/25-chiffrage-mission.md)</t>
        </is>
      </c>
    </row>
    <row r="19">
      <c r="B19" s="18" t="inlineStr">
        <is>
          <t>Freelance développeur, Tunisie</t>
        </is>
      </c>
      <c r="D19" s="59" t="inlineStr">
        <is>
          <t>180 à 500 TND/j</t>
        </is>
      </c>
    </row>
    <row r="20">
      <c r="B20" s="18" t="inlineStr">
        <is>
          <t>Expert spécialisé, contrats européens</t>
        </is>
      </c>
      <c r="D20" s="59" t="inlineStr">
        <is>
          <t>jusqu'à 750 TND/j</t>
        </is>
      </c>
    </row>
    <row r="21">
      <c r="B21" s="18" t="inlineStr">
        <is>
          <t>Architecte cloud/solution senior, salaire</t>
        </is>
      </c>
      <c r="D21" s="59" t="inlineStr">
        <is>
          <t>&gt; 7 000 TND/mois</t>
        </is>
      </c>
    </row>
    <row r="22">
      <c r="B22" s="18" t="inlineStr">
        <is>
          <t>Coût employeur équivalent</t>
        </is>
      </c>
      <c r="D22" s="59" t="inlineStr">
        <is>
          <t>~500 TND/jour ouvré</t>
        </is>
      </c>
    </row>
    <row r="23">
      <c r="B23" s="18" t="inlineStr">
        <is>
          <t>Expert IT/logiciel, Europe</t>
        </is>
      </c>
      <c r="D23" s="59" t="inlineStr">
        <is>
          <t>629 € ≈ 2 122 TND/j</t>
        </is>
      </c>
    </row>
    <row r="24">
      <c r="B24" s="18" t="inlineStr">
        <is>
          <t>Décote nearshore Tunisie vs France</t>
        </is>
      </c>
      <c r="D24" s="59" t="inlineStr">
        <is>
          <t>−30 à −50 %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2026-09-22T08:57:21Z</dcterms:created>
  <dcterms:modified xmlns:dcterms="http://purl.org/dc/terms/" xmlns:xsi="http://www.w3.org/2001/XMLSchema-instance" xsi:type="dcterms:W3CDTF">2026-09-22T08:57:21Z</dcterms:modified>
</cp:coreProperties>
</file>