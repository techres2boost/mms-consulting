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Devis" sheetId="2" state="visible" r:id="rId2"/>
    <sheet xmlns:r="http://schemas.openxmlformats.org/officeDocument/2006/relationships" name="Comparatif et repè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 TND&quot;"/>
    <numFmt numFmtId="165" formatCode="0.0%"/>
    <numFmt numFmtId="166" formatCode="0.000"/>
    <numFmt numFmtId="167" formatCode="0.0&quot; j&quot;"/>
    <numFmt numFmtId="168" formatCode="#,##0&quot; €&quot;"/>
    <numFmt numFmtId="169" formatCode="0 %"/>
    <numFmt numFmtId="170" formatCode="0&quot; j&quot;"/>
    <numFmt numFmtId="171" formatCode="#,##0&quot; TND/mois&quot;"/>
  </numFmts>
  <fonts count="33">
    <font>
      <name val="Calibri"/>
      <family val="2"/>
      <color theme="1"/>
      <sz val="11"/>
      <scheme val="minor"/>
    </font>
    <font>
      <name val="Arial"/>
      <b val="1"/>
      <color rgb="0016233D"/>
      <sz val="15"/>
    </font>
    <font>
      <name val="Arial"/>
      <color rgb="005B7180"/>
      <sz val="11"/>
    </font>
    <font>
      <name val="Arial"/>
      <b val="1"/>
      <color rgb="0016233D"/>
      <sz val="10"/>
    </font>
    <font>
      <name val="Arial"/>
      <i val="1"/>
      <color rgb="00065A82"/>
      <sz val="9.5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5B7180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i val="1"/>
      <color rgb="005B7180"/>
      <sz val="8.5"/>
    </font>
    <font>
      <name val="Arial"/>
      <b val="1"/>
      <color rgb="009A6B15"/>
      <sz val="10"/>
    </font>
    <font>
      <name val="Arial"/>
      <color rgb="005B7180"/>
      <sz val="9"/>
    </font>
    <font>
      <name val="Arial"/>
      <b val="1"/>
      <color rgb="00C0392B"/>
      <sz val="9"/>
    </font>
    <font>
      <name val="Arial"/>
      <b val="1"/>
      <color rgb="0016233D"/>
      <sz val="14"/>
    </font>
    <font>
      <name val="Arial"/>
      <color rgb="005B7180"/>
      <sz val="10"/>
    </font>
    <font>
      <name val="Arial"/>
      <b val="1"/>
      <color rgb="00008000"/>
      <sz val="11"/>
    </font>
    <font>
      <name val="Arial"/>
      <b val="1"/>
      <color rgb="00FFFFFF"/>
      <sz val="10"/>
    </font>
    <font>
      <name val="Arial"/>
      <color rgb="00000000"/>
      <sz val="9.5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0.5"/>
    </font>
    <font>
      <name val="Arial"/>
      <color rgb="00C0392B"/>
      <sz val="10"/>
    </font>
    <font>
      <name val="Arial"/>
      <i val="1"/>
      <color rgb="009A6B15"/>
      <sz val="9"/>
    </font>
    <font>
      <name val="Arial"/>
      <b val="1"/>
      <color rgb="005B7180"/>
      <sz val="9"/>
    </font>
    <font>
      <name val="Arial"/>
      <color rgb="005B7180"/>
      <sz val="8.5"/>
    </font>
    <font>
      <name val="Arial"/>
      <b val="1"/>
      <color rgb="00000000"/>
      <sz val="9"/>
    </font>
    <font>
      <name val="Arial"/>
      <b val="1"/>
      <color rgb="0016233D"/>
      <sz val="11"/>
    </font>
    <font>
      <name val="Arial"/>
      <b val="1"/>
      <color rgb="00008000"/>
      <sz val="10"/>
    </font>
    <font>
      <name val="Arial"/>
      <i val="1"/>
      <color rgb="00C0392B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6233D"/>
      </patternFill>
    </fill>
    <fill>
      <patternFill patternType="solid">
        <fgColor rgb="00E1EDF3"/>
      </patternFill>
    </fill>
    <fill>
      <patternFill patternType="solid">
        <fgColor rgb="00F1F6F9"/>
      </patternFill>
    </fill>
    <fill>
      <patternFill patternType="solid">
        <fgColor rgb="00FAF2DF"/>
      </patternFill>
    </fill>
  </fills>
  <borders count="2">
    <border>
      <left/>
      <right/>
      <top/>
      <bottom/>
      <diagonal/>
    </border>
    <border>
      <left style="thin">
        <color rgb="00B8C6D0"/>
      </left>
      <right style="thin">
        <color rgb="00B8C6D0"/>
      </right>
      <top style="thin">
        <color rgb="00B8C6D0"/>
      </top>
      <bottom style="thin">
        <color rgb="00B8C6D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0" fillId="3" borderId="0" pivotButton="0" quotePrefix="0" xfId="0"/>
    <xf numFmtId="0" fontId="9" fillId="0" borderId="1" pivotButton="0" quotePrefix="0" xfId="0"/>
    <xf numFmtId="164" fontId="12" fillId="2" borderId="1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165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5" fillId="0" borderId="0" applyAlignment="1" pivotButton="0" quotePrefix="0" xfId="0">
      <alignment horizontal="right"/>
    </xf>
    <xf numFmtId="164" fontId="19" fillId="0" borderId="0" pivotButton="0" quotePrefix="0" xfId="0"/>
    <xf numFmtId="0" fontId="20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0" fontId="5" fillId="0" borderId="1" pivotButton="0" quotePrefix="0" xfId="0"/>
    <xf numFmtId="0" fontId="21" fillId="0" borderId="1" applyAlignment="1" pivotButton="0" quotePrefix="0" xfId="0">
      <alignment vertical="center" wrapText="1"/>
    </xf>
    <xf numFmtId="167" fontId="8" fillId="2" borderId="1" applyAlignment="1" pivotButton="0" quotePrefix="0" xfId="0">
      <alignment horizontal="center"/>
    </xf>
    <xf numFmtId="164" fontId="9" fillId="0" borderId="1" pivotButton="0" quotePrefix="0" xfId="0"/>
    <xf numFmtId="168" fontId="15" fillId="0" borderId="1" pivotButton="0" quotePrefix="0" xfId="0"/>
    <xf numFmtId="0" fontId="15" fillId="0" borderId="1" applyAlignment="1" pivotButton="0" quotePrefix="0" xfId="0">
      <alignment horizontal="center"/>
    </xf>
    <xf numFmtId="0" fontId="0" fillId="5" borderId="1" pivotButton="0" quotePrefix="0" xfId="0"/>
    <xf numFmtId="0" fontId="5" fillId="5" borderId="1" applyAlignment="1" pivotButton="0" quotePrefix="0" xfId="0">
      <alignment horizontal="right"/>
    </xf>
    <xf numFmtId="167" fontId="5" fillId="5" borderId="1" applyAlignment="1" pivotButton="0" quotePrefix="0" xfId="0">
      <alignment horizontal="center"/>
    </xf>
    <xf numFmtId="164" fontId="5" fillId="5" borderId="1" pivotButton="0" quotePrefix="0" xfId="0"/>
    <xf numFmtId="168" fontId="15" fillId="5" borderId="1" pivotButton="0" quotePrefix="0" xfId="0"/>
    <xf numFmtId="0" fontId="20" fillId="3" borderId="1" pivotButton="0" quotePrefix="0" xfId="0"/>
    <xf numFmtId="0" fontId="0" fillId="3" borderId="1" pivotButton="0" quotePrefix="0" xfId="0"/>
    <xf numFmtId="167" fontId="22" fillId="5" borderId="1" applyAlignment="1" pivotButton="0" quotePrefix="0" xfId="0">
      <alignment horizontal="center"/>
    </xf>
    <xf numFmtId="164" fontId="23" fillId="5" borderId="1" pivotButton="0" quotePrefix="0" xfId="0"/>
    <xf numFmtId="0" fontId="0" fillId="0" borderId="1" pivotButton="0" quotePrefix="0" xfId="0"/>
    <xf numFmtId="0" fontId="9" fillId="0" borderId="1" applyAlignment="1" pivotButton="0" quotePrefix="0" xfId="0">
      <alignment horizontal="right"/>
    </xf>
    <xf numFmtId="0" fontId="24" fillId="5" borderId="1" applyAlignment="1" pivotButton="0" quotePrefix="0" xfId="0">
      <alignment horizontal="right"/>
    </xf>
    <xf numFmtId="164" fontId="22" fillId="5" borderId="1" pivotButton="0" quotePrefix="0" xfId="0"/>
    <xf numFmtId="164" fontId="25" fillId="0" borderId="1" pivotButton="0" quotePrefix="0" xfId="0"/>
    <xf numFmtId="0" fontId="14" fillId="6" borderId="1" pivotButton="0" quotePrefix="0" xfId="0"/>
    <xf numFmtId="0" fontId="0" fillId="6" borderId="1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center"/>
    </xf>
    <xf numFmtId="0" fontId="5" fillId="6" borderId="1" pivotButton="0" quotePrefix="0" xfId="0"/>
    <xf numFmtId="0" fontId="8" fillId="6" borderId="1" applyAlignment="1" pivotButton="0" quotePrefix="0" xfId="0">
      <alignment horizontal="center"/>
    </xf>
    <xf numFmtId="164" fontId="9" fillId="6" borderId="1" pivotButton="0" quotePrefix="0" xfId="0"/>
    <xf numFmtId="0" fontId="28" fillId="6" borderId="1" applyAlignment="1" pivotButton="0" quotePrefix="0" xfId="0">
      <alignment vertical="center" wrapText="1"/>
    </xf>
    <xf numFmtId="0" fontId="9" fillId="6" borderId="1" pivotButton="0" quotePrefix="0" xfId="0"/>
    <xf numFmtId="169" fontId="8" fillId="2" borderId="1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169" fontId="29" fillId="0" borderId="0" applyAlignment="1" pivotButton="0" quotePrefix="0" xfId="0">
      <alignment horizontal="center"/>
    </xf>
    <xf numFmtId="164" fontId="29" fillId="0" borderId="0" pivotButton="0" quotePrefix="0" xfId="0"/>
    <xf numFmtId="0" fontId="20" fillId="3" borderId="1" applyAlignment="1" pivotButton="0" quotePrefix="0" xfId="0">
      <alignment horizontal="left"/>
    </xf>
    <xf numFmtId="0" fontId="20" fillId="3" borderId="1" applyAlignment="1" pivotButton="0" quotePrefix="0" xfId="0">
      <alignment horizontal="center"/>
    </xf>
    <xf numFmtId="0" fontId="30" fillId="0" borderId="0" pivotButton="0" quotePrefix="0" xfId="0"/>
    <xf numFmtId="167" fontId="9" fillId="0" borderId="1" applyAlignment="1" pivotButton="0" quotePrefix="0" xfId="0">
      <alignment horizontal="center"/>
    </xf>
    <xf numFmtId="0" fontId="31" fillId="0" borderId="1" pivotButton="0" quotePrefix="0" xfId="0"/>
    <xf numFmtId="169" fontId="31" fillId="0" borderId="1" applyAlignment="1" pivotButton="0" quotePrefix="0" xfId="0">
      <alignment horizontal="center"/>
    </xf>
    <xf numFmtId="164" fontId="31" fillId="0" borderId="1" pivotButton="0" quotePrefix="0" xfId="0"/>
    <xf numFmtId="0" fontId="32" fillId="0" borderId="0" pivotButton="0" quotePrefix="0" xfId="0"/>
    <xf numFmtId="170" fontId="8" fillId="2" borderId="1" applyAlignment="1" pivotButton="0" quotePrefix="0" xfId="0">
      <alignment horizontal="center"/>
    </xf>
    <xf numFmtId="171" fontId="5" fillId="0" borderId="1" pivotButton="0" quotePrefix="0" xfId="0"/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Chiffrage</author>
  </authors>
  <commentList>
    <comment ref="C16" authorId="0" shapeId="0">
      <text>
        <t>Modifiez ce TJM : tout le devis se recalcule.
Repères 2026 : freelance dev Tunisie 180-500 TND/j ; expert sur contrat
européen jusqu'à 750 ; équivalent France 629 EUR/j ; coût employeur d'un
architecte senior ~500 TND/jour ouvré.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54" customWidth="1" min="4" max="4"/>
  </cols>
  <sheetData>
    <row r="2">
      <c r="B2" s="1" t="inlineStr">
        <is>
          <t>DEVIS — MISSION DE CONSEIL TECHNIQUE</t>
        </is>
      </c>
    </row>
    <row r="3">
      <c r="B3" s="2" t="inlineStr">
        <is>
          <t>Faisabilité de principe et préparation du dossier Orange · v2.0</t>
        </is>
      </c>
    </row>
    <row r="5">
      <c r="B5" s="3" t="inlineStr">
        <is>
          <t>PRINCIPE DE CHIFFRAGE</t>
        </is>
      </c>
    </row>
    <row r="6" ht="16" customHeight="1">
      <c r="B6" s="4" t="inlineStr">
        <is>
          <t>Avant Orange, on ne facture que ce qui est nécessaire pour obtenir et réussir le rendez-vous. Le détail vient après, quand on sait de quoi on parle.</t>
        </is>
      </c>
    </row>
    <row r="7" ht="16" customHeight="1"/>
    <row r="9">
      <c r="B9" s="5" t="inlineStr">
        <is>
          <t>LÉGENDE</t>
        </is>
      </c>
    </row>
    <row r="10">
      <c r="B10" s="6" t="inlineStr">
        <is>
          <t>Cellules JAUNES</t>
        </is>
      </c>
      <c r="C10" s="7" t="inlineStr">
        <is>
          <t>à modifier</t>
        </is>
      </c>
      <c r="D10" s="8" t="inlineStr">
        <is>
          <t>Les seules cellules à éditer. Tout le reste est calculé.</t>
        </is>
      </c>
    </row>
    <row r="11">
      <c r="B11" s="9" t="inlineStr">
        <is>
          <t>Texte bleu</t>
        </is>
      </c>
      <c r="D11" s="8" t="inlineStr">
        <is>
          <t>Saisie / hypothèse</t>
        </is>
      </c>
    </row>
    <row r="12">
      <c r="B12" s="10" t="inlineStr">
        <is>
          <t>Texte noir</t>
        </is>
      </c>
      <c r="D12" s="8" t="inlineStr">
        <is>
          <t>Formule — ne pas écraser</t>
        </is>
      </c>
    </row>
    <row r="13">
      <c r="B13" s="11" t="inlineStr">
        <is>
          <t>Texte vert</t>
        </is>
      </c>
      <c r="D13" s="8" t="inlineStr">
        <is>
          <t>Lien vers une autre feuille</t>
        </is>
      </c>
    </row>
    <row r="15">
      <c r="B15" s="12" t="inlineStr">
        <is>
          <t>PARAMÈTRES</t>
        </is>
      </c>
      <c r="C15" s="13" t="n"/>
      <c r="D15" s="13" t="n"/>
    </row>
    <row r="16" ht="30" customHeight="1">
      <c r="B16" s="14" t="inlineStr">
        <is>
          <t>TJM retenu (TND / jour)</t>
        </is>
      </c>
      <c r="C16" s="15" t="n">
        <v>700</v>
      </c>
      <c r="D16" s="16" t="inlineStr">
        <is>
          <t>Tarif Senior recommandé. Grille : 450 confirmé / 700 senior / 900 expert télécom. Trois méthodes convergentes justifient 700 — voir docs/25.</t>
        </is>
      </c>
    </row>
    <row r="17" ht="30" customHeight="1">
      <c r="B17" s="14" t="inlineStr">
        <is>
          <t>Taux de TVA</t>
        </is>
      </c>
      <c r="C17" s="17" t="n">
        <v>0.19</v>
      </c>
      <c r="D17" s="16" t="inlineStr">
        <is>
          <t>Taux normal Tunisie 2026. Professions libérales passées de 13 % à 19 %. À confirmer avec un expert-comptable.</t>
        </is>
      </c>
    </row>
    <row r="18" ht="30" customHeight="1">
      <c r="B18" s="14" t="inlineStr">
        <is>
          <t>Retenue à la source</t>
        </is>
      </c>
      <c r="C18" s="17" t="n">
        <v>0.1</v>
      </c>
      <c r="D18" s="16" t="inlineStr">
        <is>
          <t>10 % en régime réel, 15 % en forfaitaire, calculée sur le HT. À confirmer avec un expert-comptable.</t>
        </is>
      </c>
    </row>
    <row r="19" ht="30" customHeight="1">
      <c r="B19" s="14" t="inlineStr">
        <is>
          <t>Taux de change EUR/TND</t>
        </is>
      </c>
      <c r="C19" s="18" t="n">
        <v>3.373</v>
      </c>
      <c r="D19" s="16" t="inlineStr">
        <is>
          <t>Banque Centrale de Tunisie, 15/09/2026. Information seulement.</t>
        </is>
      </c>
    </row>
    <row r="22">
      <c r="B22" s="19" t="inlineStr">
        <is>
          <t>CE QUE CE DEVIS NE COUVRE PAS</t>
        </is>
      </c>
    </row>
    <row r="23">
      <c r="B23" s="20" t="inlineStr">
        <is>
          <t>— Développement de la plateforme Call Com (mission distincte — ~80 % développable sans Orange)</t>
        </is>
      </c>
    </row>
    <row r="24">
      <c r="B24" s="20" t="inlineStr">
        <is>
          <t>— Réalisation du POC (la Phase 1 le spécifie, elle ne l'exécute pas)</t>
        </is>
      </c>
    </row>
    <row r="25">
      <c r="B25" s="20" t="inlineStr">
        <is>
          <t>— Conseil juridique et réglementaire (la mission identifie les sujets et dit qui les porte)</t>
        </is>
      </c>
    </row>
    <row r="26">
      <c r="B26" s="20" t="inlineStr">
        <is>
          <t>— Négociation commerciale avec Orange (partage de revenus, contrat, exclusivité)</t>
        </is>
      </c>
    </row>
    <row r="27">
      <c r="B27" s="20" t="inlineStr">
        <is>
          <t>— Prospection des annonceurs</t>
        </is>
      </c>
    </row>
    <row r="28">
      <c r="B28" s="20" t="inlineStr">
        <is>
          <t>— Développements côté Orange</t>
        </is>
      </c>
    </row>
    <row r="29">
      <c r="B29" s="20" t="inlineStr">
        <is>
          <t>— Frais de déplacement hors Grand Tunis (refacturés au réel)</t>
        </is>
      </c>
    </row>
    <row r="30">
      <c r="B30" s="21" t="inlineStr">
        <is>
          <t>— AUCUNE obligation de résultat sur la décision d'Orange — mission de moyens</t>
        </is>
      </c>
    </row>
  </sheetData>
  <mergeCells count="1">
    <mergeCell ref="B6:D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56" customWidth="1" min="3" max="3"/>
    <col width="9" customWidth="1" min="4" max="4"/>
    <col width="14" customWidth="1" min="5" max="5"/>
    <col width="14" customWidth="1" min="6" max="6"/>
    <col width="12" customWidth="1" min="7" max="7"/>
  </cols>
  <sheetData>
    <row r="2">
      <c r="B2" s="22" t="inlineStr">
        <is>
          <t>DEVIS DÉTAILLÉ PAR PHASE</t>
        </is>
      </c>
    </row>
    <row r="3">
      <c r="B3" s="23" t="inlineStr">
        <is>
          <t>Montants en dinars tunisiens, hors taxes</t>
        </is>
      </c>
      <c r="E3" s="24" t="inlineStr">
        <is>
          <t>TJM :</t>
        </is>
      </c>
      <c r="F3" s="25">
        <f>Paramètres!C16</f>
        <v/>
      </c>
    </row>
    <row r="5" ht="20" customHeight="1">
      <c r="A5" s="26" t="inlineStr"/>
      <c r="B5" s="26" t="inlineStr">
        <is>
          <t>Réf.</t>
        </is>
      </c>
      <c r="C5" s="26" t="inlineStr">
        <is>
          <t>Tâche</t>
        </is>
      </c>
      <c r="D5" s="27" t="inlineStr">
        <is>
          <t>Jours</t>
        </is>
      </c>
      <c r="E5" s="27" t="inlineStr">
        <is>
          <t>Montant HT</t>
        </is>
      </c>
      <c r="F5" s="27" t="inlineStr">
        <is>
          <t>Équiv. EUR</t>
        </is>
      </c>
      <c r="G5" s="27" t="inlineStr">
        <is>
          <t>Mode</t>
        </is>
      </c>
    </row>
    <row r="6" ht="18" customHeight="1">
      <c r="B6" s="28" t="inlineStr">
        <is>
          <t>PHASE 1 — AVANT ORANGE   ·   forfait   ·   3 à 4 semaines</t>
        </is>
      </c>
      <c r="C6" s="29" t="n"/>
      <c r="D6" s="29" t="n"/>
      <c r="E6" s="29" t="n"/>
      <c r="F6" s="29" t="n"/>
      <c r="G6" s="29" t="n"/>
    </row>
    <row r="7" ht="16" customHeight="1">
      <c r="B7" s="30" t="inlineStr">
        <is>
          <t>P1.1</t>
        </is>
      </c>
      <c r="C7" s="31" t="inlineStr">
        <is>
          <t>Cadrage : concept, contraintes, objectif du rendez-vous</t>
        </is>
      </c>
      <c r="D7" s="32" t="n">
        <v>0.5</v>
      </c>
      <c r="E7" s="33">
        <f>D7*$F$3</f>
        <v/>
      </c>
      <c r="F7" s="34">
        <f>E7/Paramètres!$C$19</f>
        <v/>
      </c>
      <c r="G7" s="35" t="inlineStr">
        <is>
          <t>forfait</t>
        </is>
      </c>
    </row>
    <row r="8" ht="26" customHeight="1">
      <c r="B8" s="30" t="inlineStr">
        <is>
          <t>P1.2</t>
        </is>
      </c>
      <c r="C8" s="31" t="inlineStr">
        <is>
          <t>Note de faisabilité technique — ce qui est certain, ce qui est hypothèse, ce qui est à confirmer</t>
        </is>
      </c>
      <c r="D8" s="32" t="n">
        <v>2</v>
      </c>
      <c r="E8" s="33">
        <f>D8*$F$3</f>
        <v/>
      </c>
      <c r="F8" s="34">
        <f>E8/Paramètres!$C$19</f>
        <v/>
      </c>
      <c r="G8" s="35" t="inlineStr">
        <is>
          <t>forfait</t>
        </is>
      </c>
    </row>
    <row r="9" ht="16" customHeight="1">
      <c r="B9" s="30" t="inlineStr">
        <is>
          <t>P1.3</t>
        </is>
      </c>
      <c r="C9" s="31" t="inlineStr">
        <is>
          <t>Architecture conceptuelle Call Com + frontière Call Com / opérateur</t>
        </is>
      </c>
      <c r="D9" s="32" t="n">
        <v>1.5</v>
      </c>
      <c r="E9" s="33">
        <f>D9*$F$3</f>
        <v/>
      </c>
      <c r="F9" s="34">
        <f>E9/Paramètres!$C$19</f>
        <v/>
      </c>
      <c r="G9" s="35" t="inlineStr">
        <is>
          <t>forfait</t>
        </is>
      </c>
    </row>
    <row r="10" ht="26" customHeight="1">
      <c r="B10" s="30" t="inlineStr">
        <is>
          <t>P1.4</t>
        </is>
      </c>
      <c r="C10" s="31" t="inlineStr">
        <is>
          <t>Scénarios d'intégration possibles + flux d'appel et insertion de l'annonce</t>
        </is>
      </c>
      <c r="D10" s="32" t="n">
        <v>1.5</v>
      </c>
      <c r="E10" s="33">
        <f>D10*$F$3</f>
        <v/>
      </c>
      <c r="F10" s="34">
        <f>E10/Paramètres!$C$19</f>
        <v/>
      </c>
      <c r="G10" s="35" t="inlineStr">
        <is>
          <t>forfait</t>
        </is>
      </c>
    </row>
    <row r="11" ht="16" customHeight="1">
      <c r="B11" s="30" t="inlineStr">
        <is>
          <t>P1.5</t>
        </is>
      </c>
      <c r="C11" s="31" t="inlineStr">
        <is>
          <t>Sécurité, données personnelles, anti-fraude — grandes lignes</t>
        </is>
      </c>
      <c r="D11" s="32" t="n">
        <v>1</v>
      </c>
      <c r="E11" s="33">
        <f>D11*$F$3</f>
        <v/>
      </c>
      <c r="F11" s="34">
        <f>E11/Paramètres!$C$19</f>
        <v/>
      </c>
      <c r="G11" s="35" t="inlineStr">
        <is>
          <t>forfait</t>
        </is>
      </c>
    </row>
    <row r="12" ht="16" customHeight="1">
      <c r="B12" s="30" t="inlineStr">
        <is>
          <t>P1.6</t>
        </is>
      </c>
      <c r="C12" s="31" t="inlineStr">
        <is>
          <t>POC réalisable — périmètre minimal et critères de succès</t>
        </is>
      </c>
      <c r="D12" s="32" t="n">
        <v>0.5</v>
      </c>
      <c r="E12" s="33">
        <f>D12*$F$3</f>
        <v/>
      </c>
      <c r="F12" s="34">
        <f>E12/Paramètres!$C$19</f>
        <v/>
      </c>
      <c r="G12" s="35" t="inlineStr">
        <is>
          <t>forfait</t>
        </is>
      </c>
    </row>
    <row r="13" ht="16" customHeight="1">
      <c r="B13" s="30" t="inlineStr">
        <is>
          <t>P1.7</t>
        </is>
      </c>
      <c r="C13" s="31" t="inlineStr">
        <is>
          <t>Questions techniques à poser aux ingénieurs Orange</t>
        </is>
      </c>
      <c r="D13" s="32" t="n">
        <v>1</v>
      </c>
      <c r="E13" s="33">
        <f>D13*$F$3</f>
        <v/>
      </c>
      <c r="F13" s="34">
        <f>E13/Paramètres!$C$19</f>
        <v/>
      </c>
      <c r="G13" s="35" t="inlineStr">
        <is>
          <t>forfait</t>
        </is>
      </c>
    </row>
    <row r="14" ht="16" customHeight="1">
      <c r="B14" s="30" t="inlineStr">
        <is>
          <t>P1.8</t>
        </is>
      </c>
      <c r="C14" s="31" t="inlineStr">
        <is>
          <t>Consolidation du dossier + pitch 5 min + deck technique</t>
        </is>
      </c>
      <c r="D14" s="32" t="n">
        <v>1.5</v>
      </c>
      <c r="E14" s="33">
        <f>D14*$F$3</f>
        <v/>
      </c>
      <c r="F14" s="34">
        <f>E14/Paramètres!$C$19</f>
        <v/>
      </c>
      <c r="G14" s="35" t="inlineStr">
        <is>
          <t>forfait</t>
        </is>
      </c>
    </row>
    <row r="15">
      <c r="B15" s="36" t="n"/>
      <c r="C15" s="37" t="inlineStr">
        <is>
          <t>TOTAL PHASE 1</t>
        </is>
      </c>
      <c r="D15" s="38">
        <f>SUM(D7,D8,D9,D10,D11,D12,D13,D14)</f>
        <v/>
      </c>
      <c r="E15" s="39">
        <f>SUM(E7,E8,E9,E10,E11,E12,E13,E14)</f>
        <v/>
      </c>
      <c r="F15" s="40">
        <f>E15/Paramètres!$C$19</f>
        <v/>
      </c>
      <c r="G15" s="36" t="n"/>
    </row>
    <row r="17" ht="18" customHeight="1">
      <c r="B17" s="28" t="inlineStr">
        <is>
          <t>PHASE 2 — PREMIER ÉCHANGE AVEC ORANGE   ·   forfait par cycle de réunion</t>
        </is>
      </c>
      <c r="C17" s="29" t="n"/>
      <c r="D17" s="29" t="n"/>
      <c r="E17" s="29" t="n"/>
      <c r="F17" s="29" t="n"/>
      <c r="G17" s="29" t="n"/>
    </row>
    <row r="18" ht="16" customHeight="1">
      <c r="B18" s="30" t="inlineStr">
        <is>
          <t>P2.1</t>
        </is>
      </c>
      <c r="C18" s="31" t="inlineStr">
        <is>
          <t>Préparation et répétition du rendez-vous</t>
        </is>
      </c>
      <c r="D18" s="32" t="n">
        <v>1</v>
      </c>
      <c r="E18" s="33">
        <f>D18*$F$3</f>
        <v/>
      </c>
      <c r="F18" s="34">
        <f>E18/Paramètres!$C$19</f>
        <v/>
      </c>
      <c r="G18" s="35" t="inlineStr">
        <is>
          <t>forfait</t>
        </is>
      </c>
    </row>
    <row r="19" ht="16" customHeight="1">
      <c r="B19" s="30" t="inlineStr">
        <is>
          <t>P2.2</t>
        </is>
      </c>
      <c r="C19" s="31" t="inlineStr">
        <is>
          <t>Animation du rendez-vous aux côtés de Call Com</t>
        </is>
      </c>
      <c r="D19" s="32" t="n">
        <v>1</v>
      </c>
      <c r="E19" s="33">
        <f>D19*$F$3</f>
        <v/>
      </c>
      <c r="F19" s="34">
        <f>E19/Paramètres!$C$19</f>
        <v/>
      </c>
      <c r="G19" s="35" t="inlineStr">
        <is>
          <t>forfait</t>
        </is>
      </c>
    </row>
    <row r="20" ht="16" customHeight="1">
      <c r="B20" s="30" t="inlineStr">
        <is>
          <t>P2.3</t>
        </is>
      </c>
      <c r="C20" s="31" t="inlineStr">
        <is>
          <t>Compte rendu + note de décision d'architecture</t>
        </is>
      </c>
      <c r="D20" s="32" t="n">
        <v>1</v>
      </c>
      <c r="E20" s="33">
        <f>D20*$F$3</f>
        <v/>
      </c>
      <c r="F20" s="34">
        <f>E20/Paramètres!$C$19</f>
        <v/>
      </c>
      <c r="G20" s="35" t="inlineStr">
        <is>
          <t>forfait</t>
        </is>
      </c>
    </row>
    <row r="21">
      <c r="B21" s="36" t="n"/>
      <c r="C21" s="37" t="inlineStr">
        <is>
          <t>TOTAL PHASE 2 (par cycle)</t>
        </is>
      </c>
      <c r="D21" s="38">
        <f>SUM(D18,D19,D20)</f>
        <v/>
      </c>
      <c r="E21" s="39">
        <f>SUM(E18,E19,E20)</f>
        <v/>
      </c>
      <c r="F21" s="40">
        <f>E21/Paramètres!$C$19</f>
        <v/>
      </c>
      <c r="G21" s="36" t="n"/>
    </row>
    <row r="23" ht="18" customHeight="1">
      <c r="B23" s="41" t="inlineStr">
        <is>
          <t>TICKET D'ENTRÉE   ·   ce qui est engagé aujourd'hui</t>
        </is>
      </c>
      <c r="C23" s="42" t="n"/>
      <c r="D23" s="42" t="n"/>
      <c r="E23" s="42" t="n"/>
      <c r="F23" s="42" t="n"/>
      <c r="G23" s="42" t="n"/>
    </row>
    <row r="24">
      <c r="B24" s="36" t="n"/>
      <c r="C24" s="37" t="inlineStr">
        <is>
          <t>Phase 1 + Phase 2</t>
        </is>
      </c>
      <c r="D24" s="43">
        <f>D15+D21</f>
        <v/>
      </c>
      <c r="E24" s="44">
        <f>E15+E21</f>
        <v/>
      </c>
      <c r="F24" s="40">
        <f>E24/Paramètres!$C$19</f>
        <v/>
      </c>
      <c r="G24" s="36" t="n"/>
    </row>
    <row r="25">
      <c r="B25" s="45" t="n"/>
      <c r="C25" s="46" t="inlineStr">
        <is>
          <t>Montant hors taxes</t>
        </is>
      </c>
      <c r="D25" s="45" t="n"/>
      <c r="E25" s="33">
        <f>E24</f>
        <v/>
      </c>
      <c r="F25" s="34">
        <f>E25/Paramètres!$C$19</f>
        <v/>
      </c>
      <c r="G25" s="45" t="n"/>
    </row>
    <row r="26">
      <c r="B26" s="36" t="n"/>
      <c r="C26" s="47" t="inlineStr">
        <is>
          <t>TVA</t>
        </is>
      </c>
      <c r="D26" s="36" t="n"/>
      <c r="E26" s="48">
        <f>E24*Paramètres!$C$17</f>
        <v/>
      </c>
      <c r="F26" s="40">
        <f>E26/Paramètres!$C$19</f>
        <v/>
      </c>
      <c r="G26" s="36" t="n"/>
    </row>
    <row r="27">
      <c r="B27" s="36" t="n"/>
      <c r="C27" s="47" t="inlineStr">
        <is>
          <t>TOTAL TTC FACTURÉ</t>
        </is>
      </c>
      <c r="D27" s="36" t="n"/>
      <c r="E27" s="48">
        <f>E24+E26</f>
        <v/>
      </c>
      <c r="F27" s="40">
        <f>E27/Paramètres!$C$19</f>
        <v/>
      </c>
      <c r="G27" s="36" t="n"/>
    </row>
    <row r="28">
      <c r="B28" s="45" t="n"/>
      <c r="C28" s="46" t="inlineStr">
        <is>
          <t>Retenue à la source (acompte d'impôt, sur le HT)</t>
        </is>
      </c>
      <c r="D28" s="45" t="n"/>
      <c r="E28" s="49">
        <f>-E24*Paramètres!$C$18</f>
        <v/>
      </c>
      <c r="F28" s="34">
        <f>E28/Paramètres!$C$19</f>
        <v/>
      </c>
      <c r="G28" s="45" t="n"/>
    </row>
    <row r="29">
      <c r="B29" s="36" t="n"/>
      <c r="C29" s="47" t="inlineStr">
        <is>
          <t>ENCAISSÉ À LA FACTURATION</t>
        </is>
      </c>
      <c r="D29" s="36" t="n"/>
      <c r="E29" s="48">
        <f>E27+E28</f>
        <v/>
      </c>
      <c r="F29" s="40">
        <f>E29/Paramètres!$C$19</f>
        <v/>
      </c>
      <c r="G29" s="36" t="n"/>
    </row>
    <row r="31" ht="18" customHeight="1">
      <c r="B31" s="50" t="inlineStr">
        <is>
          <t>PHASE 3 — APRÈS ORANGE   ·   CONDITIONNELLE, NON ENGAGÉE AUJOURD'HUI</t>
        </is>
      </c>
      <c r="C31" s="51" t="n"/>
      <c r="D31" s="51" t="n"/>
      <c r="E31" s="51" t="n"/>
      <c r="F31" s="51" t="n"/>
      <c r="G31" s="51" t="n"/>
    </row>
    <row r="32">
      <c r="C32" s="52" t="inlineStr">
        <is>
          <t>Le contenu dépend des réponses d'Orange. Un cadrage d'une journée, après la réunion, fixe périmètre et prix fermes.</t>
        </is>
      </c>
    </row>
    <row r="33">
      <c r="C33" s="53" t="inlineStr">
        <is>
          <t>Scénario</t>
        </is>
      </c>
      <c r="D33" s="54" t="inlineStr">
        <is>
          <t>Jours</t>
        </is>
      </c>
      <c r="E33" s="54" t="inlineStr">
        <is>
          <t>Montant min</t>
        </is>
      </c>
      <c r="F33" s="54" t="inlineStr">
        <is>
          <t>Montant max</t>
        </is>
      </c>
      <c r="G33" s="54" t="inlineStr">
        <is>
          <t>Déclencheur</t>
        </is>
      </c>
    </row>
    <row r="34">
      <c r="B34" s="51" t="n"/>
      <c r="C34" s="55" t="inlineStr">
        <is>
          <t>Cadrage de Phase 3 (systématique)</t>
        </is>
      </c>
      <c r="D34" s="56" t="inlineStr">
        <is>
          <t>1</t>
        </is>
      </c>
      <c r="E34" s="57">
        <f>1*$F$3</f>
        <v/>
      </c>
      <c r="F34" s="57">
        <f>1*$F$3</f>
        <v/>
      </c>
      <c r="G34" s="58" t="inlineStr">
        <is>
          <t>après la réunion</t>
        </is>
      </c>
    </row>
    <row r="35">
      <c r="B35" s="51" t="n"/>
      <c r="C35" s="59" t="inlineStr">
        <is>
          <t>A — intégration simple</t>
        </is>
      </c>
      <c r="D35" s="56" t="inlineStr">
        <is>
          <t>12-15</t>
        </is>
      </c>
      <c r="E35" s="57">
        <f>12*$F$3</f>
        <v/>
      </c>
      <c r="F35" s="57">
        <f>15*$F$3</f>
        <v/>
      </c>
      <c r="G35" s="58" t="inlineStr">
        <is>
          <t>pré-provisionnement accepté</t>
        </is>
      </c>
    </row>
    <row r="36">
      <c r="B36" s="51" t="n"/>
      <c r="C36" s="59" t="inlineStr">
        <is>
          <t>B — intégration complexe</t>
        </is>
      </c>
      <c r="D36" s="56" t="inlineStr">
        <is>
          <t>20-25</t>
        </is>
      </c>
      <c r="E36" s="57">
        <f>20*$F$3</f>
        <v/>
      </c>
      <c r="F36" s="57">
        <f>25*$F$3</f>
        <v/>
      </c>
      <c r="G36" s="58" t="inlineStr">
        <is>
          <t>temps réel ou composant hébergé</t>
        </is>
      </c>
    </row>
    <row r="37">
      <c r="B37" s="51" t="n"/>
      <c r="C37" s="59" t="inlineStr">
        <is>
          <t>C — Orange ne donne pas suite</t>
        </is>
      </c>
      <c r="D37" s="56" t="inlineStr">
        <is>
          <t>4-6</t>
        </is>
      </c>
      <c r="E37" s="57">
        <f>4*$F$3</f>
        <v/>
      </c>
      <c r="F37" s="57">
        <f>6*$F$3</f>
        <v/>
      </c>
      <c r="G37" s="58" t="inlineStr">
        <is>
          <t>décline ou sans réponse</t>
        </is>
      </c>
    </row>
    <row r="39" ht="18" customHeight="1">
      <c r="B39" s="28" t="inlineStr">
        <is>
          <t>OPTIONS</t>
        </is>
      </c>
      <c r="C39" s="29" t="n"/>
      <c r="D39" s="29" t="n"/>
      <c r="E39" s="29" t="n"/>
      <c r="F39" s="29" t="n"/>
      <c r="G39" s="29" t="n"/>
    </row>
    <row r="40" ht="26" customHeight="1">
      <c r="B40" s="30" t="inlineStr"/>
      <c r="C40" s="31" t="inlineStr">
        <is>
          <t>Variante allégée de la Phase 1 (P1.1, P1.2 réduit, P1.4, P1.6, P1.7, P1.8)</t>
        </is>
      </c>
      <c r="D40" s="32" t="n">
        <v>6</v>
      </c>
      <c r="E40" s="33">
        <f>D40*$F$3</f>
        <v/>
      </c>
      <c r="F40" s="34">
        <f>E40/Paramètres!$C$19</f>
        <v/>
      </c>
      <c r="G40" s="35" t="inlineStr">
        <is>
          <t>forfait</t>
        </is>
      </c>
    </row>
    <row r="41" ht="16" customHeight="1">
      <c r="B41" s="30" t="inlineStr"/>
      <c r="C41" s="31" t="inlineStr">
        <is>
          <t>Réunion Orange supplémentaire (prépa + animation + CR allégé)</t>
        </is>
      </c>
      <c r="D41" s="32" t="n">
        <v>1.5</v>
      </c>
      <c r="E41" s="33">
        <f>D41*$F$3</f>
        <v/>
      </c>
      <c r="F41" s="34">
        <f>E41/Paramètres!$C$19</f>
        <v/>
      </c>
      <c r="G41" s="35" t="inlineStr">
        <is>
          <t>à l'unité</t>
        </is>
      </c>
    </row>
    <row r="42" ht="16" customHeight="1">
      <c r="B42" s="30" t="inlineStr"/>
      <c r="C42" s="31" t="inlineStr">
        <is>
          <t>Abonnement d'accompagnement — 3 jours par mois</t>
        </is>
      </c>
      <c r="D42" s="32" t="n">
        <v>3</v>
      </c>
      <c r="E42" s="33">
        <f>D42*$F$3</f>
        <v/>
      </c>
      <c r="F42" s="34">
        <f>E42/Paramètres!$C$19</f>
        <v/>
      </c>
      <c r="G42" s="35" t="inlineStr">
        <is>
          <t>par mois</t>
        </is>
      </c>
    </row>
    <row r="44" ht="18" customHeight="1">
      <c r="B44" s="28" t="inlineStr">
        <is>
          <t>ÉCHÉANCIER DE PAIEMENT — sur le ticket d'entrée</t>
        </is>
      </c>
      <c r="C44" s="29" t="n"/>
      <c r="D44" s="29" t="n"/>
      <c r="E44" s="29" t="n"/>
      <c r="F44" s="29" t="n"/>
      <c r="G44" s="29" t="n"/>
    </row>
    <row r="45">
      <c r="B45" s="45" t="n"/>
      <c r="C45" s="14" t="inlineStr">
        <is>
          <t>À la commande</t>
        </is>
      </c>
      <c r="D45" s="60" t="n">
        <v>0.5</v>
      </c>
      <c r="E45" s="33">
        <f>D45*$E$24</f>
        <v/>
      </c>
      <c r="F45" s="45" t="n"/>
      <c r="G45" s="45" t="n"/>
    </row>
    <row r="46">
      <c r="B46" s="45" t="n"/>
      <c r="C46" s="14" t="inlineStr">
        <is>
          <t>À la remise du dossier de Phase 1</t>
        </is>
      </c>
      <c r="D46" s="60" t="n">
        <v>0.3</v>
      </c>
      <c r="E46" s="33">
        <f>D46*$E$24</f>
        <v/>
      </c>
      <c r="F46" s="45" t="n"/>
      <c r="G46" s="45" t="n"/>
    </row>
    <row r="47">
      <c r="B47" s="45" t="n"/>
      <c r="C47" s="14" t="inlineStr">
        <is>
          <t>Après la réunion Orange et son compte rendu</t>
        </is>
      </c>
      <c r="D47" s="60" t="n">
        <v>0.2</v>
      </c>
      <c r="E47" s="33">
        <f>D47*$E$24</f>
        <v/>
      </c>
      <c r="F47" s="45" t="n"/>
      <c r="G47" s="45" t="n"/>
    </row>
    <row r="48">
      <c r="C48" s="61" t="inlineStr">
        <is>
          <t>Contrôle — doit faire 100 %</t>
        </is>
      </c>
      <c r="D48" s="62">
        <f>SUM(D45:D47)</f>
        <v/>
      </c>
      <c r="E48" s="63">
        <f>SUM(E45:E47)</f>
        <v/>
      </c>
    </row>
    <row r="50">
      <c r="B50" s="8" t="inlineStr">
        <is>
          <t>Validité de l'offre : 30 jours · Mission de moyens : aucune obligation de résultat sur la décision d'Orange Tunisie.</t>
        </is>
      </c>
    </row>
  </sheetData>
  <mergeCells count="7">
    <mergeCell ref="C32:G32"/>
    <mergeCell ref="B31:G31"/>
    <mergeCell ref="B17:G17"/>
    <mergeCell ref="B23:G23"/>
    <mergeCell ref="B44:G44"/>
    <mergeCell ref="B39:G39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2">
      <c r="B2" s="22" t="inlineStr">
        <is>
          <t>SENSIBILITÉ AU TARIF ET REPÈRES DE MARCHÉ</t>
        </is>
      </c>
    </row>
    <row r="3">
      <c r="B3" s="8" t="inlineStr">
        <is>
          <t>La colonne surlignée est le tarif appliqué dans l'onglet Devis</t>
        </is>
      </c>
    </row>
    <row r="5">
      <c r="A5" s="64" t="inlineStr"/>
      <c r="B5" s="64" t="inlineStr">
        <is>
          <t>Formule</t>
        </is>
      </c>
      <c r="C5" s="65" t="inlineStr">
        <is>
          <t>Jours</t>
        </is>
      </c>
      <c r="D5" s="65" t="inlineStr">
        <is>
          <t>450 TND/j</t>
        </is>
      </c>
      <c r="E5" s="65" t="inlineStr">
        <is>
          <t>700 TND/j</t>
        </is>
      </c>
      <c r="F5" s="65" t="inlineStr">
        <is>
          <t>900 TND/j</t>
        </is>
      </c>
    </row>
    <row r="6">
      <c r="B6" s="14" t="inlineStr">
        <is>
          <t>Phase 1 seule</t>
        </is>
      </c>
      <c r="C6" s="32" t="n">
        <v>9.5</v>
      </c>
      <c r="D6" s="33">
        <f>$C6*450</f>
        <v/>
      </c>
      <c r="E6" s="39">
        <f>$C6*700</f>
        <v/>
      </c>
      <c r="F6" s="33">
        <f>$C6*900</f>
        <v/>
      </c>
    </row>
    <row r="7">
      <c r="B7" s="14" t="inlineStr">
        <is>
          <t>Phase 1 allégée + Phase 2</t>
        </is>
      </c>
      <c r="C7" s="32" t="n">
        <v>9</v>
      </c>
      <c r="D7" s="33">
        <f>$C7*450</f>
        <v/>
      </c>
      <c r="E7" s="39">
        <f>$C7*700</f>
        <v/>
      </c>
      <c r="F7" s="33">
        <f>$C7*900</f>
        <v/>
      </c>
    </row>
    <row r="8">
      <c r="B8" s="30" t="inlineStr">
        <is>
          <t>Phase 1 + Phase 2  (ticket d'entrée)</t>
        </is>
      </c>
      <c r="C8" s="32" t="n">
        <v>12.5</v>
      </c>
      <c r="D8" s="33">
        <f>$C8*450</f>
        <v/>
      </c>
      <c r="E8" s="39">
        <f>$C8*700</f>
        <v/>
      </c>
      <c r="F8" s="33">
        <f>$C8*900</f>
        <v/>
      </c>
    </row>
    <row r="9">
      <c r="B9" s="14" t="inlineStr">
        <is>
          <t>Phase 3 scénario A (bas de fourchette)</t>
        </is>
      </c>
      <c r="C9" s="32" t="n">
        <v>12</v>
      </c>
      <c r="D9" s="33">
        <f>$C9*450</f>
        <v/>
      </c>
      <c r="E9" s="39">
        <f>$C9*700</f>
        <v/>
      </c>
      <c r="F9" s="33">
        <f>$C9*900</f>
        <v/>
      </c>
    </row>
    <row r="10">
      <c r="B10" s="14" t="inlineStr">
        <is>
          <t>Phase 3 scénario B (bas de fourchette)</t>
        </is>
      </c>
      <c r="C10" s="32" t="n">
        <v>20</v>
      </c>
      <c r="D10" s="33">
        <f>$C10*450</f>
        <v/>
      </c>
      <c r="E10" s="39">
        <f>$C10*700</f>
        <v/>
      </c>
      <c r="F10" s="33">
        <f>$C10*900</f>
        <v/>
      </c>
    </row>
    <row r="12">
      <c r="B12" s="66" t="inlineStr">
        <is>
          <t>COMPARAISON AVEC LA VERSION 1.0 DU CHIFFRAGE</t>
        </is>
      </c>
    </row>
    <row r="13">
      <c r="B13" s="14" t="inlineStr">
        <is>
          <t>Avant Orange — version 1.0</t>
        </is>
      </c>
      <c r="C13" s="67" t="n">
        <v>30.5</v>
      </c>
      <c r="D13" s="45" t="n"/>
      <c r="E13" s="33">
        <f>C13*Paramètres!$C$16</f>
        <v/>
      </c>
      <c r="F13" s="45" t="n"/>
    </row>
    <row r="14">
      <c r="B14" s="14" t="inlineStr">
        <is>
          <t>Avant Orange — version 2.0</t>
        </is>
      </c>
      <c r="C14" s="67" t="n">
        <v>12.5</v>
      </c>
      <c r="D14" s="45" t="n"/>
      <c r="E14" s="33">
        <f>C14*Paramètres!$C$16</f>
        <v/>
      </c>
      <c r="F14" s="45" t="n"/>
    </row>
    <row r="15">
      <c r="B15" s="68" t="inlineStr">
        <is>
          <t>Réduction</t>
        </is>
      </c>
      <c r="C15" s="69">
        <f>C14/C13-1</f>
        <v/>
      </c>
      <c r="D15" s="45" t="n"/>
      <c r="E15" s="70">
        <f>E14-E13</f>
        <v/>
      </c>
      <c r="F15" s="45" t="n"/>
    </row>
    <row r="18">
      <c r="B18" s="66" t="inlineStr">
        <is>
          <t>ABONNEMENT D'ACCOMPAGNEMENT</t>
        </is>
      </c>
    </row>
    <row r="19">
      <c r="B19" s="71" t="inlineStr">
        <is>
          <t>La durée de cette phase dépend d'Orange, pas de vous : ne jamais la forfaitiser.</t>
        </is>
      </c>
    </row>
    <row r="20">
      <c r="B20" s="14" t="inlineStr">
        <is>
          <t>2 jours par mois</t>
        </is>
      </c>
      <c r="C20" s="72" t="n">
        <v>2</v>
      </c>
      <c r="D20" s="45" t="n"/>
      <c r="E20" s="73">
        <f>C20*Paramètres!$C$16</f>
        <v/>
      </c>
      <c r="F20" s="45" t="n"/>
    </row>
    <row r="21">
      <c r="B21" s="14" t="inlineStr">
        <is>
          <t>3 jours par mois</t>
        </is>
      </c>
      <c r="C21" s="72" t="n">
        <v>3</v>
      </c>
      <c r="D21" s="45" t="n"/>
      <c r="E21" s="73">
        <f>C21*Paramètres!$C$16</f>
        <v/>
      </c>
      <c r="F21" s="45" t="n"/>
    </row>
    <row r="22">
      <c r="B22" s="14" t="inlineStr">
        <is>
          <t>4 jours par mois</t>
        </is>
      </c>
      <c r="C22" s="72" t="n">
        <v>4</v>
      </c>
      <c r="D22" s="45" t="n"/>
      <c r="E22" s="73">
        <f>C22*Paramètres!$C$16</f>
        <v/>
      </c>
      <c r="F22" s="45" t="n"/>
    </row>
    <row r="25">
      <c r="B25" s="3" t="inlineStr">
        <is>
          <t>REPÈRES DE MARCHÉ 2026 (sources dans docs/25-chiffrage-mission.md)</t>
        </is>
      </c>
    </row>
    <row r="26">
      <c r="B26" s="20" t="inlineStr">
        <is>
          <t>Freelance développeur, Tunisie</t>
        </is>
      </c>
      <c r="D26" s="74" t="inlineStr">
        <is>
          <t>180 à 500 TND/j</t>
        </is>
      </c>
    </row>
    <row r="27">
      <c r="B27" s="20" t="inlineStr">
        <is>
          <t>Expert spécialisé, contrats européens</t>
        </is>
      </c>
      <c r="D27" s="74" t="inlineStr">
        <is>
          <t>jusqu'à 750 TND/j</t>
        </is>
      </c>
    </row>
    <row r="28">
      <c r="B28" s="20" t="inlineStr">
        <is>
          <t>Architecte cloud / solution senior, salaire</t>
        </is>
      </c>
      <c r="D28" s="74" t="inlineStr">
        <is>
          <t>&gt; 7 000 TND/mois</t>
        </is>
      </c>
    </row>
    <row r="29">
      <c r="B29" s="20" t="inlineStr">
        <is>
          <t>Coût employeur équivalent</t>
        </is>
      </c>
      <c r="D29" s="74" t="inlineStr">
        <is>
          <t>~500 TND/jour ouvré</t>
        </is>
      </c>
    </row>
    <row r="30">
      <c r="B30" s="20" t="inlineStr">
        <is>
          <t>Expert IT / logiciel, Europe</t>
        </is>
      </c>
      <c r="D30" s="74" t="inlineStr">
        <is>
          <t>629 € ≈ 2 122 TND/j</t>
        </is>
      </c>
    </row>
    <row r="31">
      <c r="B31" s="20" t="inlineStr">
        <is>
          <t>Décote nearshore Tunisie vs France</t>
        </is>
      </c>
      <c r="D31" s="74" t="inlineStr">
        <is>
          <t>−30 à −50 %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2026-09-22T13:42:43Z</dcterms:created>
  <dcterms:modified xmlns:dcterms="http://purl.org/dc/terms/" xmlns:xsi="http://www.w3.org/2001/XMLSchema-instance" xsi:type="dcterms:W3CDTF">2026-09-22T13:42:43Z</dcterms:modified>
</cp:coreProperties>
</file>